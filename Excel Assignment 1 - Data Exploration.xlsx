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83f46c01192fc2/Desktop/DATA ANALYTICS ASSIGNMENTS/"/>
    </mc:Choice>
  </mc:AlternateContent>
  <xr:revisionPtr revIDLastSave="127" documentId="8_{3BB5A0D3-C65D-4492-A7D0-1C30F67BEB12}" xr6:coauthVersionLast="47" xr6:coauthVersionMax="47" xr10:uidLastSave="{175DDEFE-AC34-426F-90FB-23956855B9B3}"/>
  <bookViews>
    <workbookView xWindow="-120" yWindow="-120" windowWidth="29040" windowHeight="15720" activeTab="2" xr2:uid="{00000000-000D-0000-FFFF-FFFF00000000}"/>
  </bookViews>
  <sheets>
    <sheet name="Instructions" sheetId="1" r:id="rId1"/>
    <sheet name="Dataset" sheetId="2" r:id="rId2"/>
    <sheet name="ANSWE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E38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" i="4"/>
  <c r="E44" i="4"/>
  <c r="E4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E42" i="4"/>
  <c r="E41" i="4"/>
  <c r="E40" i="4"/>
  <c r="E39" i="4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<sst xmlns="http://schemas.openxmlformats.org/spreadsheetml/2006/main" count="312" uniqueCount="121">
  <si>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</si>
  <si>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</si>
  <si>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</si>
  <si>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</si>
  <si>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</si>
  <si>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</si>
  <si>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</si>
  <si>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</si>
  <si>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</si>
  <si>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</si>
  <si>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</si>
  <si>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</si>
  <si>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</si>
  <si>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</si>
  <si>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</si>
  <si>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</si>
  <si>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</si>
  <si>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</si>
  <si>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</si>
  <si>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</si>
  <si>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</si>
  <si>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</si>
  <si>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</si>
  <si>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</si>
  <si>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</si>
  <si>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</si>
  <si>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</si>
  <si>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</si>
  <si>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</si>
  <si>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</si>
  <si>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</si>
  <si>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</si>
  <si>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</si>
  <si>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</si>
  <si>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</si>
  <si>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</si>
  <si>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</si>
  <si>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</si>
  <si>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</si>
  <si>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</si>
  <si>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</si>
  <si>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</si>
  <si>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</si>
  <si>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</si>
  <si>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</si>
  <si>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</si>
  <si>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</si>
  <si>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</si>
  <si>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</si>
  <si>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</si>
  <si>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</si>
  <si>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</si>
  <si>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</si>
  <si>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</si>
  <si>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</si>
  <si>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</si>
  <si>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</si>
  <si>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</si>
  <si>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</si>
  <si>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</si>
  <si>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</si>
  <si>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</si>
  <si>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</si>
  <si>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</si>
  <si>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</si>
  <si>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</si>
  <si>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</si>
  <si>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</si>
  <si>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</si>
  <si>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</si>
  <si>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</si>
  <si>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</si>
  <si>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</si>
  <si>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</si>
  <si>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</si>
  <si>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</si>
  <si>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</si>
  <si>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</si>
  <si>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</si>
  <si>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</si>
  <si>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</si>
  <si>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</si>
  <si>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</si>
  <si>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</si>
  <si>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</si>
  <si>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</si>
  <si>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</si>
  <si>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</si>
  <si>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</si>
  <si>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</si>
  <si>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</si>
  <si>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</si>
  <si>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</si>
  <si>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</si>
  <si>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</si>
  <si>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</si>
  <si>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</si>
  <si>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</si>
  <si>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</si>
  <si>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</si>
  <si>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</si>
  <si>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</si>
  <si>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</si>
  <si>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</si>
  <si>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</si>
  <si>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</si>
  <si>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</si>
  <si>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</si>
  <si>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</si>
  <si>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</si>
  <si>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products:</t>
  </si>
  <si>
    <t>Total number of products:</t>
  </si>
  <si>
    <t>Average price of the products:</t>
  </si>
  <si>
    <t>Minimum price of all products:</t>
  </si>
  <si>
    <t>Maximum price of all product:</t>
  </si>
  <si>
    <t>Price Range</t>
  </si>
  <si>
    <t>Total price of Electronics category:</t>
  </si>
  <si>
    <t>Number of products price less than 100$: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</si>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</sst>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P11" sqref="P11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J7" sqref="J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B1EC-7122-4ACE-AF32-26C27DEC0643}">
  <sheetPr>
    <outlinePr summaryBelow="0" summaryRight="0"/>
  </sheetPr>
  <dimension ref="A1:K1000"/>
  <sheetViews>
    <sheetView tabSelected="1" zoomScale="80" zoomScaleNormal="80" workbookViewId="0">
      <selection activeCell="E38" sqref="E38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3.5703125" customWidth="1"/>
    <col min="8" max="8" width="12.5703125" customWidth="1"/>
    <col min="9" max="10" width="14.140625" customWidth="1"/>
  </cols>
  <sheetData>
    <row r="1" spans="1:11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  <c r="K1" s="6"/>
    </row>
    <row r="2" spans="1:11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s="17" t="str">
        <f>LEFT(A2,2)</f>
        <v>28</v>
      </c>
      <c r="I2" s="16" t="str">
        <f>RIGHT(A2,2)</f>
        <v>US</v>
      </c>
      <c r="J2" s="16" t="str">
        <f>MID(A2,4,3)</f>
        <v>JAN</v>
      </c>
      <c r="K2" s="7"/>
    </row>
    <row r="3" spans="1:11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17" t="str">
        <f t="shared" ref="H3:H35" si="1">LEFT(A3,2)</f>
        <v>15</v>
      </c>
      <c r="I3" s="16" t="str">
        <f t="shared" ref="I3:I35" si="2">RIGHT(A3,2)</f>
        <v>US</v>
      </c>
      <c r="J3" s="16" t="str">
        <f t="shared" ref="J3:J35" si="3">MID(A3,4,3)</f>
        <v>FEB</v>
      </c>
      <c r="K3" s="7"/>
    </row>
    <row r="4" spans="1:11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17" t="str">
        <f t="shared" si="1"/>
        <v>03</v>
      </c>
      <c r="I4" s="16" t="str">
        <f t="shared" si="2"/>
        <v>US</v>
      </c>
      <c r="J4" s="16" t="str">
        <f t="shared" si="3"/>
        <v>MAR</v>
      </c>
      <c r="K4" s="7"/>
    </row>
    <row r="5" spans="1:11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17" t="str">
        <f t="shared" si="1"/>
        <v>11</v>
      </c>
      <c r="I5" s="16" t="str">
        <f t="shared" si="2"/>
        <v>US</v>
      </c>
      <c r="J5" s="16" t="str">
        <f t="shared" si="3"/>
        <v>APR</v>
      </c>
      <c r="K5" s="7"/>
    </row>
    <row r="6" spans="1:11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17" t="str">
        <f t="shared" si="1"/>
        <v>22</v>
      </c>
      <c r="I6" s="16" t="str">
        <f t="shared" si="2"/>
        <v>US</v>
      </c>
      <c r="J6" s="16" t="str">
        <f t="shared" si="3"/>
        <v>MAY</v>
      </c>
      <c r="K6" s="7"/>
    </row>
    <row r="7" spans="1:11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17" t="str">
        <f t="shared" si="1"/>
        <v>07</v>
      </c>
      <c r="I7" s="16" t="str">
        <f t="shared" si="2"/>
        <v>UK</v>
      </c>
      <c r="J7" s="16" t="str">
        <f t="shared" si="3"/>
        <v>JUN</v>
      </c>
      <c r="K7" s="7"/>
    </row>
    <row r="8" spans="1:11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17" t="str">
        <f t="shared" si="1"/>
        <v>19</v>
      </c>
      <c r="I8" s="16" t="str">
        <f t="shared" si="2"/>
        <v>UK</v>
      </c>
      <c r="J8" s="16" t="str">
        <f t="shared" si="3"/>
        <v>JUL</v>
      </c>
      <c r="K8" s="7"/>
    </row>
    <row r="9" spans="1:11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17" t="str">
        <f t="shared" si="1"/>
        <v>23</v>
      </c>
      <c r="I9" s="16" t="str">
        <f t="shared" si="2"/>
        <v>UK</v>
      </c>
      <c r="J9" s="16" t="str">
        <f t="shared" si="3"/>
        <v>AUG</v>
      </c>
      <c r="K9" s="7"/>
    </row>
    <row r="10" spans="1:11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17" t="str">
        <f t="shared" si="1"/>
        <v>05</v>
      </c>
      <c r="I10" s="16" t="str">
        <f t="shared" si="2"/>
        <v>UK</v>
      </c>
      <c r="J10" s="16" t="str">
        <f t="shared" si="3"/>
        <v>SEP</v>
      </c>
      <c r="K10" s="7"/>
    </row>
    <row r="11" spans="1:11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17" t="str">
        <f t="shared" si="1"/>
        <v>14</v>
      </c>
      <c r="I11" s="16" t="str">
        <f t="shared" si="2"/>
        <v>UK</v>
      </c>
      <c r="J11" s="16" t="str">
        <f t="shared" si="3"/>
        <v>OCT</v>
      </c>
      <c r="K11" s="7"/>
    </row>
    <row r="12" spans="1:11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17" t="str">
        <f t="shared" si="1"/>
        <v>17</v>
      </c>
      <c r="I12" s="16" t="str">
        <f t="shared" si="2"/>
        <v>IN</v>
      </c>
      <c r="J12" s="16" t="str">
        <f t="shared" si="3"/>
        <v>JUN</v>
      </c>
      <c r="K12" s="7"/>
    </row>
    <row r="13" spans="1:11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17" t="str">
        <f t="shared" si="1"/>
        <v>25</v>
      </c>
      <c r="I13" s="16" t="str">
        <f t="shared" si="2"/>
        <v>AU</v>
      </c>
      <c r="J13" s="16" t="str">
        <f t="shared" si="3"/>
        <v>NOV</v>
      </c>
      <c r="K13" s="7"/>
    </row>
    <row r="14" spans="1:11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17" t="str">
        <f t="shared" si="1"/>
        <v>08</v>
      </c>
      <c r="I14" s="16" t="str">
        <f t="shared" si="2"/>
        <v>DE</v>
      </c>
      <c r="J14" s="16" t="str">
        <f t="shared" si="3"/>
        <v>DEC</v>
      </c>
      <c r="K14" s="7"/>
    </row>
    <row r="15" spans="1:11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17" t="str">
        <f t="shared" si="1"/>
        <v>18</v>
      </c>
      <c r="I15" s="16" t="str">
        <f t="shared" si="2"/>
        <v>CA</v>
      </c>
      <c r="J15" s="16" t="str">
        <f t="shared" si="3"/>
        <v>FEB</v>
      </c>
      <c r="K15" s="7"/>
    </row>
    <row r="16" spans="1:11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17" t="str">
        <f t="shared" si="1"/>
        <v>16</v>
      </c>
      <c r="I16" s="16" t="str">
        <f t="shared" si="2"/>
        <v>ES</v>
      </c>
      <c r="J16" s="16" t="str">
        <f t="shared" si="3"/>
        <v>APR</v>
      </c>
      <c r="K16" s="7"/>
    </row>
    <row r="17" spans="1:11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17" t="str">
        <f t="shared" si="1"/>
        <v>21</v>
      </c>
      <c r="I17" s="16" t="str">
        <f t="shared" si="2"/>
        <v>CA</v>
      </c>
      <c r="J17" s="16" t="str">
        <f t="shared" si="3"/>
        <v>AUG</v>
      </c>
      <c r="K17" s="7"/>
    </row>
    <row r="18" spans="1:11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s="17" t="str">
        <f t="shared" si="1"/>
        <v>20</v>
      </c>
      <c r="I18" s="16" t="str">
        <f t="shared" si="2"/>
        <v>CN</v>
      </c>
      <c r="J18" s="16" t="str">
        <f t="shared" si="3"/>
        <v>AUG</v>
      </c>
      <c r="K18" s="7"/>
    </row>
    <row r="19" spans="1:11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17" t="str">
        <f t="shared" si="1"/>
        <v>27</v>
      </c>
      <c r="I19" s="16" t="str">
        <f t="shared" si="2"/>
        <v>IT</v>
      </c>
      <c r="J19" s="16" t="str">
        <f t="shared" si="3"/>
        <v>JAN</v>
      </c>
      <c r="K19" s="7"/>
    </row>
    <row r="20" spans="1:11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s="17" t="str">
        <f t="shared" si="1"/>
        <v>01</v>
      </c>
      <c r="I20" s="16" t="str">
        <f t="shared" si="2"/>
        <v>UK</v>
      </c>
      <c r="J20" s="16" t="str">
        <f t="shared" si="3"/>
        <v>MAR</v>
      </c>
      <c r="K20" s="7"/>
    </row>
    <row r="21" spans="1:11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17" t="str">
        <f t="shared" si="1"/>
        <v>14</v>
      </c>
      <c r="I21" s="16" t="str">
        <f t="shared" si="2"/>
        <v>US</v>
      </c>
      <c r="J21" s="16" t="str">
        <f t="shared" si="3"/>
        <v>AUG</v>
      </c>
      <c r="K21" s="7"/>
    </row>
    <row r="22" spans="1:11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s="17" t="str">
        <f t="shared" si="1"/>
        <v>14</v>
      </c>
      <c r="I22" s="16" t="str">
        <f t="shared" si="2"/>
        <v>RU</v>
      </c>
      <c r="J22" s="16" t="str">
        <f t="shared" si="3"/>
        <v>MAY</v>
      </c>
      <c r="K22" s="7"/>
    </row>
    <row r="23" spans="1:11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17" t="str">
        <f t="shared" si="1"/>
        <v>09</v>
      </c>
      <c r="I23" s="16" t="str">
        <f t="shared" si="2"/>
        <v>CA</v>
      </c>
      <c r="J23" s="16" t="str">
        <f t="shared" si="3"/>
        <v>JAN</v>
      </c>
      <c r="K23" s="7"/>
    </row>
    <row r="24" spans="1:11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s="17" t="str">
        <f t="shared" si="1"/>
        <v>19</v>
      </c>
      <c r="I24" s="16" t="str">
        <f t="shared" si="2"/>
        <v>BR</v>
      </c>
      <c r="J24" s="16" t="str">
        <f t="shared" si="3"/>
        <v>JUL</v>
      </c>
      <c r="K24" s="7"/>
    </row>
    <row r="25" spans="1:11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17" t="str">
        <f t="shared" si="1"/>
        <v>21</v>
      </c>
      <c r="I25" s="16" t="str">
        <f t="shared" si="2"/>
        <v>CA</v>
      </c>
      <c r="J25" s="16" t="str">
        <f t="shared" si="3"/>
        <v>AUG</v>
      </c>
      <c r="K25" s="9"/>
    </row>
    <row r="26" spans="1:11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s="17" t="str">
        <f t="shared" si="1"/>
        <v>29</v>
      </c>
      <c r="I26" s="16" t="str">
        <f t="shared" si="2"/>
        <v>CA</v>
      </c>
      <c r="J26" s="16" t="str">
        <f t="shared" si="3"/>
        <v>SEP</v>
      </c>
      <c r="K26" s="7"/>
    </row>
    <row r="27" spans="1:11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17" t="str">
        <f t="shared" si="1"/>
        <v>03</v>
      </c>
      <c r="I27" s="16" t="str">
        <f t="shared" si="2"/>
        <v>CA</v>
      </c>
      <c r="J27" s="16" t="str">
        <f t="shared" si="3"/>
        <v>JUN</v>
      </c>
      <c r="K27" s="7"/>
    </row>
    <row r="28" spans="1:11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s="17" t="str">
        <f t="shared" si="1"/>
        <v>11</v>
      </c>
      <c r="I28" s="16" t="str">
        <f t="shared" si="2"/>
        <v>CA</v>
      </c>
      <c r="J28" s="16" t="str">
        <f t="shared" si="3"/>
        <v>JUL</v>
      </c>
      <c r="K28" s="7"/>
    </row>
    <row r="29" spans="1:11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17" t="str">
        <f t="shared" si="1"/>
        <v>16</v>
      </c>
      <c r="I29" s="16" t="str">
        <f t="shared" si="2"/>
        <v>ES</v>
      </c>
      <c r="J29" s="16" t="str">
        <f t="shared" si="3"/>
        <v>APR</v>
      </c>
      <c r="K29" s="9"/>
    </row>
    <row r="30" spans="1:11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s="17" t="str">
        <f t="shared" si="1"/>
        <v>07</v>
      </c>
      <c r="I30" s="16" t="str">
        <f t="shared" si="2"/>
        <v>CA</v>
      </c>
      <c r="J30" s="16" t="str">
        <f t="shared" si="3"/>
        <v>MAR</v>
      </c>
      <c r="K30" s="7"/>
    </row>
    <row r="31" spans="1:11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17" t="str">
        <f t="shared" si="1"/>
        <v>13</v>
      </c>
      <c r="I31" s="16" t="str">
        <f t="shared" si="2"/>
        <v>CA</v>
      </c>
      <c r="J31" s="16" t="str">
        <f t="shared" si="3"/>
        <v>APR</v>
      </c>
      <c r="K31" s="7"/>
    </row>
    <row r="32" spans="1:11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s="17" t="str">
        <f t="shared" si="1"/>
        <v>24</v>
      </c>
      <c r="I32" s="16" t="str">
        <f t="shared" si="2"/>
        <v>CA</v>
      </c>
      <c r="J32" s="16" t="str">
        <f t="shared" si="3"/>
        <v>MAY</v>
      </c>
      <c r="K32" s="7"/>
    </row>
    <row r="33" spans="1:11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17" t="str">
        <f t="shared" si="1"/>
        <v>02</v>
      </c>
      <c r="I33" s="16" t="str">
        <f t="shared" si="2"/>
        <v>CA</v>
      </c>
      <c r="J33" s="16" t="str">
        <f t="shared" si="3"/>
        <v>DEC</v>
      </c>
      <c r="K33" s="7"/>
    </row>
    <row r="34" spans="1:11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s="17" t="str">
        <f t="shared" si="1"/>
        <v>17</v>
      </c>
      <c r="I34" s="16" t="str">
        <f t="shared" si="2"/>
        <v>IN</v>
      </c>
      <c r="J34" s="16" t="str">
        <f t="shared" si="3"/>
        <v>JUN</v>
      </c>
      <c r="K34" s="7"/>
    </row>
    <row r="35" spans="1:11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17" t="str">
        <f t="shared" si="1"/>
        <v>09</v>
      </c>
      <c r="I35" s="16" t="str">
        <f t="shared" si="2"/>
        <v>FR</v>
      </c>
      <c r="J35" s="16" t="str">
        <f t="shared" si="3"/>
        <v>JUL</v>
      </c>
      <c r="K35" s="7"/>
    </row>
    <row r="36" spans="1:11" ht="15.75" customHeight="1" x14ac:dyDescent="0.2">
      <c r="D36" s="10"/>
    </row>
    <row r="37" spans="1:11" ht="15.75" customHeight="1" x14ac:dyDescent="0.2"/>
    <row r="38" spans="1:11" ht="15.75" customHeight="1" x14ac:dyDescent="0.25">
      <c r="B38" s="11" t="s">
        <v>110</v>
      </c>
      <c r="C38" s="12"/>
      <c r="D38" s="12"/>
      <c r="E38" s="14">
        <f>SUM(D2:D35)</f>
        <v>10100</v>
      </c>
      <c r="F38" s="13"/>
    </row>
    <row r="39" spans="1:11" ht="15.75" customHeight="1" x14ac:dyDescent="0.25">
      <c r="B39" s="11" t="s">
        <v>111</v>
      </c>
      <c r="C39" s="11"/>
      <c r="D39" s="11"/>
      <c r="E39" s="14">
        <f>COUNT(E2:E35)</f>
        <v>34</v>
      </c>
      <c r="F39" s="13"/>
    </row>
    <row r="40" spans="1:11" ht="15.75" customHeight="1" x14ac:dyDescent="0.25">
      <c r="B40" s="11" t="s">
        <v>112</v>
      </c>
      <c r="C40" s="12"/>
      <c r="D40" s="12"/>
      <c r="E40" s="15">
        <f>AVERAGE(D2:D35)</f>
        <v>297.05882352941177</v>
      </c>
      <c r="F40" s="13"/>
    </row>
    <row r="41" spans="1:11" ht="15.75" customHeight="1" x14ac:dyDescent="0.25">
      <c r="B41" s="11" t="s">
        <v>113</v>
      </c>
      <c r="C41" s="11"/>
      <c r="D41" s="11"/>
      <c r="E41" s="14">
        <f>MIN(D2:D35)</f>
        <v>30</v>
      </c>
      <c r="F41" s="13"/>
    </row>
    <row r="42" spans="1:11" ht="15.75" customHeight="1" x14ac:dyDescent="0.25">
      <c r="B42" s="11" t="s">
        <v>114</v>
      </c>
      <c r="C42" s="11"/>
      <c r="D42" s="11"/>
      <c r="E42" s="14">
        <f>MAX(D2:D35)</f>
        <v>1000</v>
      </c>
      <c r="F42" s="13"/>
    </row>
    <row r="43" spans="1:11" ht="15.75" customHeight="1" x14ac:dyDescent="0.25">
      <c r="B43" s="11" t="s">
        <v>116</v>
      </c>
      <c r="C43" s="12"/>
      <c r="D43" s="12"/>
      <c r="E43" s="14">
        <f>SUMIF(F2:F35,"Electronics",D2:D35)</f>
        <v>8050</v>
      </c>
      <c r="F43" s="13"/>
    </row>
    <row r="44" spans="1:11" ht="15.75" customHeight="1" x14ac:dyDescent="0.25">
      <c r="A44" s="11" t="s">
        <v>117</v>
      </c>
      <c r="B44" s="11"/>
      <c r="C44" s="11"/>
      <c r="D44" s="11"/>
      <c r="E44" s="14">
        <f>COUNTIF(D2:D35,"&lt;100")</f>
        <v>11</v>
      </c>
      <c r="F44" s="13"/>
    </row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B43:D43"/>
    <mergeCell ref="A44:D44"/>
    <mergeCell ref="B38:D38"/>
    <mergeCell ref="B39:D39"/>
    <mergeCell ref="B40:D40"/>
    <mergeCell ref="B41:D41"/>
    <mergeCell ref="B42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Najma Ashraf Ali</dc:creator>
  <cp:lastModifiedBy>Najma Ashraf Ali</cp:lastModifiedBy>
  <dcterms:created xsi:type="dcterms:W3CDTF">2026-09-25T19:41:26Z</dcterms:created>
  <dcterms:modified xsi:type="dcterms:W3CDTF">2026-09-26T07:58:38Z</dcterms:modified>
</cp:coreProperties>
</file>